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cf/Desktop/AI/Expense_Tracking/"/>
    </mc:Choice>
  </mc:AlternateContent>
  <xr:revisionPtr revIDLastSave="0" documentId="8_{8119C2FE-0CCB-7542-AE4A-6929296A364E}" xr6:coauthVersionLast="47" xr6:coauthVersionMax="47" xr10:uidLastSave="{00000000-0000-0000-0000-000000000000}"/>
  <bookViews>
    <workbookView xWindow="0" yWindow="660" windowWidth="30240" windowHeight="18980" tabRatio="478" xr2:uid="{2509AA56-D101-9243-A1B5-5FCD6E6157FE}"/>
  </bookViews>
  <sheets>
    <sheet name="Mileage Sheet" sheetId="3" r:id="rId1"/>
  </sheets>
  <definedNames>
    <definedName name="_xlnm._FilterDatabase" localSheetId="0" hidden="1">'Mileage Sheet'!#REF!</definedName>
    <definedName name="_xlnm.Print_Area" localSheetId="0">'Mileage Sheet'!$A$1:$F$49</definedName>
    <definedName name="_xlnm.Print_Titles" localSheetId="0">'Mileage Sheet'!$1:$6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D40" i="3"/>
  <c r="A40" i="3"/>
  <c r="D38" i="3"/>
  <c r="A38" i="3"/>
  <c r="D39" i="3"/>
  <c r="D41" i="3"/>
  <c r="D43" i="3"/>
  <c r="A23" i="3"/>
  <c r="A24" i="3"/>
  <c r="A25" i="3"/>
  <c r="A26" i="3"/>
  <c r="A27" i="3"/>
  <c r="A28" i="3"/>
  <c r="A29" i="3"/>
  <c r="A30" i="3"/>
  <c r="A31" i="3"/>
  <c r="A32" i="3"/>
  <c r="A33" i="3"/>
  <c r="A34" i="3"/>
  <c r="A37" i="3"/>
  <c r="A39" i="3"/>
  <c r="A36" i="3"/>
  <c r="A35" i="3"/>
</calcChain>
</file>

<file path=xl/sharedStrings.xml><?xml version="1.0" encoding="utf-8"?>
<sst xmlns="http://schemas.openxmlformats.org/spreadsheetml/2006/main" count="11" uniqueCount="10">
  <si>
    <t>Date</t>
  </si>
  <si>
    <t>Employee signature</t>
  </si>
  <si>
    <t>Month Start:</t>
  </si>
  <si>
    <t>School</t>
  </si>
  <si>
    <t>Miles</t>
  </si>
  <si>
    <t>Employee Mileage Sheet</t>
  </si>
  <si>
    <t>KM</t>
  </si>
  <si>
    <t>Milage Rate</t>
    <phoneticPr fontId="0" type="noConversion"/>
  </si>
  <si>
    <t>Justificatif</t>
    <phoneticPr fontId="0" type="noConversion"/>
  </si>
  <si>
    <t>Name: Evasion Delice Inc_________________________________________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</si>
</sst>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98" formatCode="&quot;$&quot;#,##0.00"/>
    <numFmt numFmtId="199" formatCode="ddd\ m/d/yyyy"/>
    <numFmt numFmtId="200" formatCode="&quot;$&quot;#,##0.000"/>
    <numFmt numFmtId="201" formatCode="[$-C0C]d\ mmmm\,\ yyyy;@"/>
    <numFmt numFmtId="202" formatCode="#,##0.00\ [$$-C0C]"/>
  </numFmts>
  <fonts count="15" x14ac:knownFonts="1">
    <font>
      <sz val="10"/>
      <name val="Arial"/>
    </font>
    <font>
      <sz val="10"/>
      <name val="Century Gothic"/>
      <family val="2"/>
    </font>
    <font>
      <sz val="8"/>
      <name val="Century Gothic"/>
      <family val="2"/>
    </font>
    <font>
      <sz val="9"/>
      <name val="Century Gothic"/>
      <family val="2"/>
    </font>
    <font>
      <sz val="8"/>
      <color indexed="23"/>
      <name val="Century Gothic"/>
      <family val="2"/>
    </font>
    <font>
      <sz val="10"/>
      <color indexed="23"/>
      <name val="Century Gothic"/>
      <family val="2"/>
    </font>
    <font>
      <b/>
      <sz val="9"/>
      <name val="Century Gothic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23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left"/>
    </xf>
    <xf numFmtId="0" fontId="1" fillId="2" borderId="0" xfId="0" applyFont="1" applyFill="1"/>
    <xf numFmtId="0" fontId="3" fillId="0" borderId="0" xfId="0" applyFont="1"/>
    <xf numFmtId="0" fontId="4" fillId="0" borderId="2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3" fillId="0" borderId="0" xfId="0" applyFont="1" applyBorder="1"/>
    <xf numFmtId="0" fontId="7" fillId="0" borderId="0" xfId="0" applyFont="1" applyAlignment="1"/>
    <xf numFmtId="0" fontId="3" fillId="0" borderId="0" xfId="0" applyFont="1" applyBorder="1" applyAlignment="1">
      <alignment horizontal="left"/>
    </xf>
    <xf numFmtId="0" fontId="13" fillId="0" borderId="0" xfId="0" applyFont="1" applyAlignment="1"/>
    <xf numFmtId="199" fontId="9" fillId="4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2" fontId="9" fillId="5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2" fontId="9" fillId="5" borderId="0" xfId="0" applyNumberFormat="1" applyFont="1" applyFill="1" applyBorder="1" applyAlignment="1">
      <alignment horizontal="left" vertical="center"/>
    </xf>
    <xf numFmtId="2" fontId="3" fillId="6" borderId="0" xfId="0" applyNumberFormat="1" applyFont="1" applyFill="1" applyBorder="1" applyAlignment="1">
      <alignment horizontal="left" vertical="center"/>
    </xf>
    <xf numFmtId="198" fontId="1" fillId="0" borderId="0" xfId="0" applyNumberFormat="1" applyFont="1" applyAlignment="1">
      <alignment horizontal="center"/>
    </xf>
    <xf numFmtId="200" fontId="1" fillId="0" borderId="0" xfId="0" applyNumberFormat="1" applyFont="1" applyAlignment="1" applyProtection="1">
      <alignment horizontal="right"/>
      <protection locked="0"/>
    </xf>
    <xf numFmtId="2" fontId="3" fillId="6" borderId="1" xfId="0" applyNumberFormat="1" applyFont="1" applyFill="1" applyBorder="1" applyAlignment="1" applyProtection="1">
      <alignment horizontal="left" vertical="center"/>
    </xf>
    <xf numFmtId="2" fontId="3" fillId="6" borderId="1" xfId="0" applyNumberFormat="1" applyFont="1" applyFill="1" applyBorder="1" applyAlignment="1" applyProtection="1">
      <alignment horizontal="center" vertical="center"/>
    </xf>
    <xf numFmtId="199" fontId="8" fillId="5" borderId="4" xfId="0" applyNumberFormat="1" applyFont="1" applyFill="1" applyBorder="1" applyAlignment="1">
      <alignment horizontal="left" vertical="center"/>
    </xf>
    <xf numFmtId="199" fontId="8" fillId="5" borderId="5" xfId="0" applyNumberFormat="1" applyFont="1" applyFill="1" applyBorder="1" applyAlignment="1">
      <alignment horizontal="left" vertical="center"/>
    </xf>
    <xf numFmtId="49" fontId="9" fillId="4" borderId="3" xfId="0" applyNumberFormat="1" applyFont="1" applyFill="1" applyBorder="1" applyAlignment="1" applyProtection="1">
      <alignment horizontal="left" vertical="center" wrapText="1"/>
    </xf>
    <xf numFmtId="202" fontId="1" fillId="0" borderId="0" xfId="0" applyNumberFormat="1" applyFont="1" applyAlignment="1" applyProtection="1">
      <alignment horizontal="right"/>
      <protection locked="0"/>
    </xf>
    <xf numFmtId="202" fontId="1" fillId="0" borderId="0" xfId="0" applyNumberFormat="1" applyFont="1" applyAlignment="1">
      <alignment horizontal="center"/>
    </xf>
    <xf numFmtId="201" fontId="12" fillId="0" borderId="0" xfId="0" applyNumberFormat="1" applyFont="1" applyFill="1" applyBorder="1" applyAlignment="1" applyProtection="1">
      <alignment horizontal="right"/>
      <protection locked="0"/>
    </xf>
    <xf numFmtId="201" fontId="0" fillId="0" borderId="6" xfId="0" applyNumberFormat="1" applyFont="1" applyFill="1" applyBorder="1" applyAlignment="1" applyProtection="1">
      <alignment horizontal="right"/>
      <protection locked="0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99" fontId="8" fillId="5" borderId="9" xfId="0" applyNumberFormat="1" applyFont="1" applyFill="1" applyBorder="1" applyAlignment="1">
      <alignment horizontal="left" vertical="center"/>
    </xf>
    <xf numFmtId="199" fontId="8" fillId="5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6896CE"/>
      <rgbColor rgb="00FFFF00"/>
      <rgbColor rgb="00FF00FF"/>
      <rgbColor rgb="0000FFFF"/>
      <rgbColor rgb="00800000"/>
      <rgbColor rgb="00547D92"/>
      <rgbColor rgb="00C2D5E0"/>
      <rgbColor rgb="0037525F"/>
      <rgbColor rgb="00BCBCBC"/>
      <rgbColor rgb="00008080"/>
      <rgbColor rgb="00E0E0E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EFCF2"/>
      <rgbColor rgb="00CCFFCC"/>
      <rgbColor rgb="00FFE7BD"/>
      <rgbColor rgb="00FCFAF2"/>
      <rgbColor rgb="00FF99CC"/>
      <rgbColor rgb="00EAEAEA"/>
      <rgbColor rgb="00FDF7DF"/>
      <rgbColor rgb="003366FF"/>
      <rgbColor rgb="0033CCCC"/>
      <rgbColor rgb="0099CC00"/>
      <rgbColor rgb="00FFCC00"/>
      <rgbColor rgb="00FF9900"/>
      <rgbColor rgb="00FF6600"/>
      <rgbColor rgb="00FBF8EF"/>
      <rgbColor rgb="00CFCFCF"/>
      <rgbColor rgb="00315D71"/>
      <rgbColor rgb="00339966"/>
      <rgbColor rgb="00739ED3"/>
      <rgbColor rgb="00ECF5D7"/>
      <rgbColor rgb="00993300"/>
      <rgbColor rgb="00993366"/>
      <rgbColor rgb="00F1F6F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3A18-DB0E-E64D-B1DB-AA218A888FF5}">
  <dimension ref="A1:R53"/>
  <sheetViews>
    <sheetView showGridLines="0" showZeros="0" tabSelected="1" workbookViewId="0">
      <pane ySplit="6" topLeftCell="A7" activePane="bottomLeft" state="frozen"/>
      <selection pane="bottomLeft" activeCell="D15" sqref="D15"/>
    </sheetView>
  </sheetViews>
  <sheetFormatPr baseColWidth="10" defaultColWidth="9.1640625" defaultRowHeight="13" x14ac:dyDescent="0.15"/>
  <cols>
    <col min="1" max="1" width="13.5" style="1" customWidth="1"/>
    <col min="2" max="2" width="7.5" style="1" customWidth="1"/>
    <col min="3" max="3" width="54" style="7" customWidth="1"/>
    <col min="4" max="4" width="23.6640625" style="7" customWidth="1"/>
    <col min="5" max="5" width="25" style="7" customWidth="1"/>
    <col min="6" max="6" width="9.5" style="1" customWidth="1"/>
    <col min="7" max="7" width="7.5" style="1" hidden="1" customWidth="1"/>
    <col min="8" max="12" width="9.1640625" style="1"/>
    <col min="13" max="13" width="14.1640625" style="1" customWidth="1"/>
    <col min="14" max="16384" width="9.1640625" style="1"/>
  </cols>
  <sheetData>
    <row r="1" spans="1:18" ht="18" customHeight="1" x14ac:dyDescent="0.2">
      <c r="A1" s="14"/>
      <c r="B1" s="14"/>
      <c r="C1" s="14" t="s">
        <v>5</v>
      </c>
      <c r="D1" s="14"/>
      <c r="E1" s="10"/>
      <c r="F1" s="3"/>
      <c r="G1" s="3"/>
    </row>
    <row r="2" spans="1:18" ht="18" customHeight="1" x14ac:dyDescent="0.2">
      <c r="A2" s="14"/>
      <c r="B2" s="14"/>
      <c r="C2" s="14"/>
      <c r="D2" s="14"/>
      <c r="E2" s="10"/>
      <c r="F2" s="3"/>
      <c r="G2" s="3"/>
    </row>
    <row r="3" spans="1:18" ht="18" customHeight="1" x14ac:dyDescent="0.2">
      <c r="A3" s="24" t="s">
        <v>9</v>
      </c>
      <c r="B3" s="16"/>
      <c r="C3" s="16"/>
      <c r="D3" s="16"/>
      <c r="E3" s="10"/>
      <c r="F3" s="3"/>
      <c r="G3" s="3"/>
    </row>
    <row r="4" spans="1:18" ht="18" customHeight="1" x14ac:dyDescent="0.2">
      <c r="A4" s="11"/>
      <c r="B4" s="14"/>
      <c r="C4" s="14"/>
      <c r="D4" s="14"/>
      <c r="E4" s="10"/>
      <c r="F4" s="3"/>
      <c r="G4" s="3"/>
    </row>
    <row r="5" spans="1:18" ht="17" customHeight="1" x14ac:dyDescent="0.15">
      <c r="A5" s="11" t="s">
        <v>2</v>
      </c>
      <c r="B5" s="12"/>
      <c r="C5" s="39">
        <v>45627</v>
      </c>
      <c r="D5" s="38"/>
    </row>
    <row r="6" spans="1:18" s="4" customFormat="1" ht="15.75" customHeight="1" x14ac:dyDescent="0.15">
      <c r="A6" s="40" t="s">
        <v>0</v>
      </c>
      <c r="B6" s="41"/>
      <c r="C6" s="9" t="s">
        <v>8</v>
      </c>
      <c r="D6" s="6" t="s">
        <v>6</v>
      </c>
      <c r="J6" s="25" t="s">
        <v>3</v>
      </c>
      <c r="K6" s="25" t="s">
        <v>4</v>
      </c>
      <c r="R6" s="13"/>
    </row>
    <row r="7" spans="1:18" s="18" customFormat="1" ht="15" customHeight="1" x14ac:dyDescent="0.15">
      <c r="A7" s="33">
        <f>+C5</f>
        <v>45627</v>
      </c>
      <c r="B7" s="34"/>
      <c r="C7" s="35"/>
      <c r="D7" s="31"/>
    </row>
    <row r="8" spans="1:18" s="18" customFormat="1" ht="15" customHeight="1" x14ac:dyDescent="0.15">
      <c r="A8" s="33">
        <f t="shared" ref="A8:A34" si="0">+A7+1</f>
        <v>45628</v>
      </c>
      <c r="B8" s="34"/>
      <c r="C8" s="35"/>
      <c r="D8" s="31"/>
    </row>
    <row r="9" spans="1:18" s="18" customFormat="1" ht="15" customHeight="1" x14ac:dyDescent="0.15">
      <c r="A9" s="33">
        <f t="shared" si="0"/>
        <v>45629</v>
      </c>
      <c r="B9" s="34"/>
      <c r="C9" s="35"/>
      <c r="D9" s="31"/>
    </row>
    <row r="10" spans="1:18" s="18" customFormat="1" ht="15" customHeight="1" x14ac:dyDescent="0.15">
      <c r="A10" s="33">
        <f t="shared" si="0"/>
        <v>45630</v>
      </c>
      <c r="B10" s="34"/>
      <c r="C10" s="35"/>
      <c r="D10" s="31"/>
    </row>
    <row r="11" spans="1:18" s="18" customFormat="1" ht="15" customHeight="1" x14ac:dyDescent="0.15">
      <c r="A11" s="33">
        <f t="shared" si="0"/>
        <v>45631</v>
      </c>
      <c r="B11" s="34"/>
      <c r="C11" s="35"/>
      <c r="D11" s="31"/>
    </row>
    <row r="12" spans="1:18" s="18" customFormat="1" ht="15" customHeight="1" x14ac:dyDescent="0.15">
      <c r="A12" s="33">
        <f t="shared" si="0"/>
        <v>45632</v>
      </c>
      <c r="B12" s="34"/>
      <c r="C12" s="35"/>
      <c r="D12" s="31"/>
    </row>
    <row r="13" spans="1:18" s="18" customFormat="1" ht="15" customHeight="1" x14ac:dyDescent="0.15">
      <c r="A13" s="33">
        <f t="shared" si="0"/>
        <v>45633</v>
      </c>
      <c r="B13" s="34"/>
      <c r="C13" s="35"/>
      <c r="D13" s="31"/>
    </row>
    <row r="14" spans="1:18" s="18" customFormat="1" ht="15" customHeight="1" x14ac:dyDescent="0.15">
      <c r="A14" s="33">
        <f t="shared" si="0"/>
        <v>45634</v>
      </c>
      <c r="B14" s="34"/>
      <c r="C14" s="35"/>
      <c r="D14" s="31"/>
    </row>
    <row r="15" spans="1:18" s="18" customFormat="1" ht="15" customHeight="1" x14ac:dyDescent="0.15">
      <c r="A15" s="33">
        <f t="shared" si="0"/>
        <v>45635</v>
      </c>
      <c r="B15" s="34"/>
      <c r="C15" s="35"/>
      <c r="D15" s="31"/>
    </row>
    <row r="16" spans="1:18" s="18" customFormat="1" ht="15" customHeight="1" x14ac:dyDescent="0.15">
      <c r="A16" s="33">
        <f t="shared" si="0"/>
        <v>45636</v>
      </c>
      <c r="B16" s="34"/>
      <c r="C16" s="35"/>
      <c r="D16" s="31"/>
    </row>
    <row r="17" spans="1:4" s="18" customFormat="1" ht="15" customHeight="1" x14ac:dyDescent="0.15">
      <c r="A17" s="33">
        <f t="shared" si="0"/>
        <v>45637</v>
      </c>
      <c r="B17" s="34"/>
      <c r="C17" s="35"/>
      <c r="D17" s="31"/>
    </row>
    <row r="18" spans="1:4" s="18" customFormat="1" ht="15" customHeight="1" x14ac:dyDescent="0.15">
      <c r="A18" s="33">
        <f t="shared" si="0"/>
        <v>45638</v>
      </c>
      <c r="B18" s="34"/>
      <c r="C18" s="35"/>
      <c r="D18" s="31"/>
    </row>
    <row r="19" spans="1:4" s="18" customFormat="1" ht="15" customHeight="1" x14ac:dyDescent="0.15">
      <c r="A19" s="33">
        <f t="shared" si="0"/>
        <v>45639</v>
      </c>
      <c r="B19" s="34"/>
      <c r="C19" s="35"/>
      <c r="D19" s="31"/>
    </row>
    <row r="20" spans="1:4" s="18" customFormat="1" ht="15" customHeight="1" x14ac:dyDescent="0.15">
      <c r="A20" s="33">
        <f t="shared" si="0"/>
        <v>45640</v>
      </c>
      <c r="B20" s="34"/>
      <c r="C20" s="35"/>
      <c r="D20" s="31"/>
    </row>
    <row r="21" spans="1:4" s="18" customFormat="1" ht="15" customHeight="1" x14ac:dyDescent="0.15">
      <c r="A21" s="33">
        <f t="shared" si="0"/>
        <v>45641</v>
      </c>
      <c r="B21" s="34"/>
      <c r="C21" s="35"/>
      <c r="D21" s="31"/>
    </row>
    <row r="22" spans="1:4" s="18" customFormat="1" ht="15" customHeight="1" x14ac:dyDescent="0.15">
      <c r="A22" s="33">
        <f t="shared" si="0"/>
        <v>45642</v>
      </c>
      <c r="B22" s="34"/>
      <c r="C22" s="35"/>
      <c r="D22" s="31"/>
    </row>
    <row r="23" spans="1:4" s="18" customFormat="1" ht="15" customHeight="1" x14ac:dyDescent="0.15">
      <c r="A23" s="33">
        <f t="shared" si="0"/>
        <v>45643</v>
      </c>
      <c r="B23" s="34"/>
      <c r="C23" s="35"/>
      <c r="D23" s="31"/>
    </row>
    <row r="24" spans="1:4" s="18" customFormat="1" ht="15" customHeight="1" x14ac:dyDescent="0.15">
      <c r="A24" s="33">
        <f t="shared" si="0"/>
        <v>45644</v>
      </c>
      <c r="B24" s="34"/>
      <c r="C24" s="35"/>
      <c r="D24" s="31"/>
    </row>
    <row r="25" spans="1:4" s="18" customFormat="1" ht="15" customHeight="1" x14ac:dyDescent="0.15">
      <c r="A25" s="33">
        <f t="shared" si="0"/>
        <v>45645</v>
      </c>
      <c r="B25" s="34"/>
      <c r="C25" s="35"/>
      <c r="D25" s="31"/>
    </row>
    <row r="26" spans="1:4" s="18" customFormat="1" ht="15" customHeight="1" x14ac:dyDescent="0.15">
      <c r="A26" s="33">
        <f t="shared" si="0"/>
        <v>45646</v>
      </c>
      <c r="B26" s="34"/>
      <c r="C26" s="35"/>
      <c r="D26" s="31"/>
    </row>
    <row r="27" spans="1:4" s="18" customFormat="1" ht="15" customHeight="1" x14ac:dyDescent="0.15">
      <c r="A27" s="33">
        <f t="shared" si="0"/>
        <v>45647</v>
      </c>
      <c r="B27" s="34"/>
      <c r="C27" s="35"/>
      <c r="D27" s="31"/>
    </row>
    <row r="28" spans="1:4" s="18" customFormat="1" ht="15" customHeight="1" x14ac:dyDescent="0.15">
      <c r="A28" s="33">
        <f t="shared" si="0"/>
        <v>45648</v>
      </c>
      <c r="B28" s="34"/>
      <c r="C28" s="35"/>
      <c r="D28" s="31"/>
    </row>
    <row r="29" spans="1:4" s="18" customFormat="1" ht="15" customHeight="1" x14ac:dyDescent="0.15">
      <c r="A29" s="33">
        <f t="shared" si="0"/>
        <v>45649</v>
      </c>
      <c r="B29" s="34"/>
      <c r="C29" s="35"/>
      <c r="D29" s="31"/>
    </row>
    <row r="30" spans="1:4" s="18" customFormat="1" ht="15" customHeight="1" x14ac:dyDescent="0.15">
      <c r="A30" s="33">
        <f t="shared" si="0"/>
        <v>45650</v>
      </c>
      <c r="B30" s="34"/>
      <c r="C30" s="35"/>
      <c r="D30" s="31"/>
    </row>
    <row r="31" spans="1:4" s="18" customFormat="1" ht="15" customHeight="1" x14ac:dyDescent="0.15">
      <c r="A31" s="33">
        <f t="shared" si="0"/>
        <v>45651</v>
      </c>
      <c r="B31" s="34"/>
      <c r="C31" s="35"/>
      <c r="D31" s="31"/>
    </row>
    <row r="32" spans="1:4" s="18" customFormat="1" ht="15" customHeight="1" x14ac:dyDescent="0.15">
      <c r="A32" s="33">
        <f t="shared" si="0"/>
        <v>45652</v>
      </c>
      <c r="B32" s="34"/>
      <c r="C32" s="35"/>
      <c r="D32" s="31"/>
    </row>
    <row r="33" spans="1:6" s="18" customFormat="1" ht="15" customHeight="1" x14ac:dyDescent="0.15">
      <c r="A33" s="33">
        <f t="shared" si="0"/>
        <v>45653</v>
      </c>
      <c r="B33" s="34"/>
      <c r="C33" s="35"/>
      <c r="D33" s="31"/>
    </row>
    <row r="34" spans="1:6" s="18" customFormat="1" ht="15" customHeight="1" x14ac:dyDescent="0.15">
      <c r="A34" s="33">
        <f t="shared" si="0"/>
        <v>45654</v>
      </c>
      <c r="B34" s="34"/>
      <c r="C34" s="35"/>
      <c r="D34" s="31"/>
    </row>
    <row r="35" spans="1:6" s="18" customFormat="1" ht="15" customHeight="1" x14ac:dyDescent="0.15">
      <c r="A35" s="33">
        <f>IF(MONTH(A$34+1)=MONTH(C$5),A$34+1,"")</f>
        <v>45655</v>
      </c>
      <c r="B35" s="34"/>
      <c r="C35" s="35"/>
      <c r="D35" s="31"/>
    </row>
    <row r="36" spans="1:6" s="18" customFormat="1" ht="15" customHeight="1" x14ac:dyDescent="0.15">
      <c r="A36" s="33">
        <f>IF(MONTH(A$34+2)=MONTH(C$5),A$34+2,"")</f>
        <v>45656</v>
      </c>
      <c r="B36" s="34"/>
      <c r="C36" s="35"/>
      <c r="D36" s="31"/>
    </row>
    <row r="37" spans="1:6" s="18" customFormat="1" ht="15" customHeight="1" x14ac:dyDescent="0.15">
      <c r="A37" s="33">
        <f>IF(MONTH(A$34+3)=MONTH(C$5),A$34+3,"")</f>
        <v>45657</v>
      </c>
      <c r="B37" s="34"/>
      <c r="C37" s="35"/>
      <c r="D37" s="31"/>
    </row>
    <row r="38" spans="1:6" s="18" customFormat="1" ht="15" hidden="1" customHeight="1" x14ac:dyDescent="0.15">
      <c r="A38" s="43" t="e">
        <f>IF(MONTH(C$5)=MONTH(#REF!+3),#REF!+3,"")</f>
        <v>#REF!</v>
      </c>
      <c r="B38" s="44"/>
      <c r="C38" s="17"/>
      <c r="D38" s="31" t="str">
        <f>IF(ISBLANK(C38),"",VLOOKUP(C38,#REF!,2))</f>
        <v/>
      </c>
    </row>
    <row r="39" spans="1:6" s="18" customFormat="1" ht="15" hidden="1" customHeight="1" x14ac:dyDescent="0.15">
      <c r="A39" s="43">
        <f>IF(MONTH(C$5)=MONTH(A34+3),A34+3,"")</f>
        <v>45657</v>
      </c>
      <c r="B39" s="44"/>
      <c r="C39" s="17"/>
      <c r="D39" s="31" t="str">
        <f>IF(ISBLANK(C39),"",VLOOKUP(C39,#REF!,2))</f>
        <v/>
      </c>
    </row>
    <row r="40" spans="1:6" s="18" customFormat="1" ht="15" hidden="1" customHeight="1" x14ac:dyDescent="0.15">
      <c r="A40" s="43" t="e">
        <f>IF(MONTH(C$5)=MONTH(#REF!+3),#REF!+3,"")</f>
        <v>#REF!</v>
      </c>
      <c r="B40" s="44"/>
      <c r="C40" s="17"/>
      <c r="D40" s="31" t="str">
        <f>IF(ISBLANK(C40),"",VLOOKUP(C40,#REF!,2))</f>
        <v/>
      </c>
    </row>
    <row r="41" spans="1:6" s="18" customFormat="1" ht="15" customHeight="1" x14ac:dyDescent="0.15">
      <c r="A41" s="42"/>
      <c r="B41" s="42"/>
      <c r="C41" s="19"/>
      <c r="D41" s="32">
        <f>SUM(D7:D37)</f>
        <v>0</v>
      </c>
    </row>
    <row r="42" spans="1:6" s="18" customFormat="1" ht="15" customHeight="1" x14ac:dyDescent="0.15">
      <c r="A42" s="26"/>
      <c r="B42" s="26"/>
      <c r="C42" s="27"/>
      <c r="D42" s="28"/>
    </row>
    <row r="43" spans="1:6" s="20" customFormat="1" ht="15" customHeight="1" x14ac:dyDescent="0.15">
      <c r="A43" s="20" t="s">
        <v>7</v>
      </c>
      <c r="C43" s="36">
        <v>0.68</v>
      </c>
      <c r="D43" s="37">
        <f>C43*D41</f>
        <v>0</v>
      </c>
    </row>
    <row r="44" spans="1:6" s="20" customFormat="1" ht="15" customHeight="1" x14ac:dyDescent="0.15">
      <c r="C44" s="30"/>
      <c r="D44" s="29"/>
    </row>
    <row r="45" spans="1:6" s="20" customFormat="1" ht="15" customHeight="1" x14ac:dyDescent="0.15">
      <c r="A45" s="2"/>
      <c r="B45" s="2"/>
      <c r="C45" s="15"/>
      <c r="D45" s="15"/>
    </row>
    <row r="46" spans="1:6" s="20" customFormat="1" ht="15" customHeight="1" x14ac:dyDescent="0.15">
      <c r="A46" s="2"/>
      <c r="B46" s="2"/>
      <c r="C46" s="5" t="s">
        <v>1</v>
      </c>
      <c r="D46" s="5" t="s">
        <v>0</v>
      </c>
    </row>
    <row r="47" spans="1:6" s="20" customFormat="1" ht="15" customHeight="1" x14ac:dyDescent="0.15">
      <c r="A47" s="2"/>
      <c r="B47" s="2"/>
      <c r="C47" s="8"/>
      <c r="D47" s="8"/>
      <c r="E47" s="15"/>
      <c r="F47" s="15"/>
    </row>
    <row r="48" spans="1:6" s="20" customFormat="1" ht="15" customHeight="1" x14ac:dyDescent="0.15">
      <c r="C48" s="21"/>
      <c r="D48" s="21"/>
    </row>
    <row r="49" spans="3:11" s="20" customFormat="1" ht="15" customHeight="1" x14ac:dyDescent="0.15">
      <c r="C49" s="21"/>
      <c r="D49" s="21"/>
    </row>
    <row r="50" spans="3:11" s="20" customFormat="1" ht="15" customHeight="1" x14ac:dyDescent="0.15">
      <c r="C50" s="21"/>
      <c r="D50" s="21"/>
      <c r="E50" s="21"/>
      <c r="H50" s="23"/>
      <c r="I50" s="22"/>
      <c r="J50" s="23"/>
      <c r="K50" s="22"/>
    </row>
    <row r="51" spans="3:11" s="20" customFormat="1" ht="15" customHeight="1" x14ac:dyDescent="0.15">
      <c r="C51" s="21"/>
      <c r="D51" s="21"/>
      <c r="E51" s="21"/>
    </row>
    <row r="52" spans="3:11" s="20" customFormat="1" ht="15" customHeight="1" x14ac:dyDescent="0.15">
      <c r="C52" s="21"/>
      <c r="D52" s="21"/>
      <c r="E52" s="21"/>
    </row>
    <row r="53" spans="3:11" s="20" customFormat="1" ht="15" customHeight="1" x14ac:dyDescent="0.15">
      <c r="C53" s="21"/>
      <c r="D53" s="21"/>
      <c r="E53" s="21"/>
    </row>
  </sheetData>
  <mergeCells count="5">
    <mergeCell ref="A6:B6"/>
    <mergeCell ref="A41:B41"/>
    <mergeCell ref="A40:B40"/>
    <mergeCell ref="A39:B39"/>
    <mergeCell ref="A38:B38"/>
  </mergeCells>
  <phoneticPr fontId="0" type="noConversion"/>
  <dataValidations count="3">
    <dataValidation allowBlank="1" showInputMessage="1" sqref="D7:D37" xr:uid="{D0E50288-406A-6A4B-8EC4-AFFCB91F5217}"/>
    <dataValidation type="list" allowBlank="1" showErrorMessage="1" sqref="C38:C40" xr:uid="{D4986D96-2DC3-8947-AB5F-DF6365167B64}">
      <formula1>#REF!</formula1>
    </dataValidation>
    <dataValidation type="list" allowBlank="1" sqref="C7:C37" xr:uid="{30F8C9BE-5E98-1747-A657-C07A3089BF00}">
      <formula1>#REF!</formula1>
    </dataValidation>
  </dataValidations>
  <printOptions horizontalCentered="1"/>
  <pageMargins left="0.18" right="0.18" top="0.18" bottom="0" header="0.39" footer="0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Mileage Sheet</vt:lpstr>
      <vt:lpstr>'Mileage Sheet'!Print_Area</vt:lpstr>
      <vt:lpstr>'Mileage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fezerick F</cp:lastModifiedBy>
  <cp:lastPrinted>2010-06-01T21:03:52Z</cp:lastPrinted>
  <dcterms:created xsi:type="dcterms:W3CDTF">2000-08-25T01:59:39Z</dcterms:created>
  <dcterms:modified xsi:type="dcterms:W3CDTF">2026-06-17T19:03:38Z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TC300034121033</vt:lpwstr>
  </property>
</Properties>
</file>